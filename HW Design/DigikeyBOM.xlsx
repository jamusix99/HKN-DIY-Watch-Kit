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91310259_nebraska_edu/Documents/UNO/IEEE HKN/WatchProject/"/>
    </mc:Choice>
  </mc:AlternateContent>
  <xr:revisionPtr revIDLastSave="20" documentId="11_79CE710A549AC410B0C00D2B08C520B8F183002C" xr6:coauthVersionLast="47" xr6:coauthVersionMax="47" xr10:uidLastSave="{F823A16B-B48E-E749-B81B-25C0F7DBA850}"/>
  <bookViews>
    <workbookView xWindow="3760" yWindow="1040" windowWidth="25600" windowHeight="19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3" i="1"/>
</calcChain>
</file>

<file path=xl/sharedStrings.xml><?xml version="1.0" encoding="utf-8"?>
<sst xmlns="http://schemas.openxmlformats.org/spreadsheetml/2006/main" count="45" uniqueCount="45">
  <si>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</si>
  <si>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</si>
  <si>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</si>
  <si>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</si>
  <si>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</si>
  <si>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</si>
  <si>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</si>
  <si>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</si>
  <si>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</si>
  <si>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</si>
  <si>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USD</t>
  </si>
  <si>
    <t>TDCR1050M-ND</t>
  </si>
  <si>
    <t>TDCR1050M</t>
  </si>
  <si>
    <t>DISP 7SEG 0.39" QUAD RED 16DIP</t>
  </si>
  <si>
    <t>ATTINY85-20PU-ND</t>
  </si>
  <si>
    <t>ATTINY85-20PU</t>
  </si>
  <si>
    <t>IC MCU 8BIT 8KB FLASH 8DIP</t>
  </si>
  <si>
    <t>296-33695-5-ND</t>
  </si>
  <si>
    <t>SN74AHCT595N</t>
  </si>
  <si>
    <t>IC SR TRI-STATE 8BIT 16-PDIP</t>
  </si>
  <si>
    <t>BH800S-ND</t>
  </si>
  <si>
    <t>BH800S</t>
  </si>
  <si>
    <t>BATT HLD COIN 20MM 2 CELL PC PIN</t>
  </si>
  <si>
    <t>5210-CR2032-ND</t>
  </si>
  <si>
    <t>CR2032</t>
  </si>
  <si>
    <t>CR2032  20.0mn 3V Coin Cell</t>
  </si>
  <si>
    <t>478-TAP334K050CCS-ND</t>
  </si>
  <si>
    <t>TAP334K050CCS</t>
  </si>
  <si>
    <t>CAP TANT 0.33UF 10% 50V RADIAL</t>
  </si>
  <si>
    <t>BC1084CT-ND</t>
  </si>
  <si>
    <t>K104K15X7RF5TL2</t>
  </si>
  <si>
    <t>CAP CER 0.1UF 50V X7R RADIAL</t>
  </si>
  <si>
    <t>CF18JT1K00CT-ND</t>
  </si>
  <si>
    <t>CF18JT1K00</t>
  </si>
  <si>
    <t>RES 1K OHM 5% 1/8W AXIAL</t>
  </si>
  <si>
    <t>SW402-ND</t>
  </si>
  <si>
    <t>B3F-1020</t>
  </si>
  <si>
    <t>SWITCH TACTILE SPST-NO 0.05A 24V</t>
  </si>
  <si>
    <t>Price per kit:</t>
  </si>
  <si>
    <t>JLC Run (5x):</t>
  </si>
  <si>
    <t xml:space="preserve"> (+shipping)</t>
  </si>
  <si>
    <t>Prod run (x25):</t>
  </si>
  <si>
    <t>JLC Run (25x):</t>
  </si>
  <si>
    <t>(+shipping)</t>
  </si>
  <si>
    <t>Proto run (x5):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</si>
</sst>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C1" workbookViewId="0">
      <selection activeCell="J19" sqref="J19"/>
    </sheetView>
  </sheetViews>
  <sheetFormatPr baseColWidth="10" defaultRowHeight="16" x14ac:dyDescent="0.2"/>
  <cols>
    <col min="1" max="1" width="6.6640625" customWidth="1"/>
    <col min="2" max="2" width="10.83203125" customWidth="1"/>
    <col min="3" max="3" width="27" customWidth="1"/>
    <col min="4" max="4" width="32.33203125" customWidth="1"/>
    <col min="5" max="5" width="43.1640625" customWidth="1"/>
    <col min="6" max="6" width="24.33203125" customWidth="1"/>
    <col min="7" max="8" width="12.1640625" customWidth="1"/>
    <col min="9" max="9" width="13.5" customWidth="1"/>
    <col min="10" max="10" width="24.33203125" customWidth="1"/>
  </cols>
  <sheetData>
    <row r="1" spans="1:10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" x14ac:dyDescent="0.2">
      <c r="A3" s="2">
        <v>1</v>
      </c>
      <c r="B3" s="2">
        <v>1</v>
      </c>
      <c r="C3" t="s">
        <v>11</v>
      </c>
      <c r="D3" t="s">
        <v>12</v>
      </c>
      <c r="E3" t="s">
        <v>13</v>
      </c>
      <c r="G3" s="2">
        <v>1</v>
      </c>
      <c r="H3" s="2">
        <v>0</v>
      </c>
      <c r="I3">
        <v>3.48</v>
      </c>
      <c r="J3" s="3">
        <v>3.48</v>
      </c>
    </row>
    <row r="4" spans="1:10" ht="15" x14ac:dyDescent="0.2">
      <c r="A4" s="2">
        <v>2</v>
      </c>
      <c r="B4" s="2">
        <v>1</v>
      </c>
      <c r="C4" t="s">
        <v>14</v>
      </c>
      <c r="D4" t="s">
        <v>15</v>
      </c>
      <c r="E4" t="s">
        <v>16</v>
      </c>
      <c r="G4" s="2">
        <v>1</v>
      </c>
      <c r="H4" s="2">
        <v>0</v>
      </c>
      <c r="I4">
        <v>1.66</v>
      </c>
      <c r="J4" s="3">
        <v>1.66</v>
      </c>
    </row>
    <row r="5" spans="1:10" ht="15" x14ac:dyDescent="0.2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2</v>
      </c>
      <c r="H5" s="2">
        <v>0</v>
      </c>
      <c r="I5">
        <v>0.9</v>
      </c>
      <c r="J5" s="3">
        <v>1.8</v>
      </c>
    </row>
    <row r="6" spans="1:10" ht="15" x14ac:dyDescent="0.2">
      <c r="A6" s="2">
        <v>4</v>
      </c>
      <c r="B6" s="2">
        <v>1</v>
      </c>
      <c r="C6" t="s">
        <v>20</v>
      </c>
      <c r="D6" t="s">
        <v>21</v>
      </c>
      <c r="E6" t="s">
        <v>22</v>
      </c>
      <c r="G6" s="2">
        <v>1</v>
      </c>
      <c r="H6" s="2">
        <v>0</v>
      </c>
      <c r="I6">
        <v>1.35</v>
      </c>
      <c r="J6" s="3">
        <v>1.35</v>
      </c>
    </row>
    <row r="7" spans="1:10" ht="15" x14ac:dyDescent="0.2">
      <c r="A7" s="2">
        <v>5</v>
      </c>
      <c r="B7" s="2">
        <v>2</v>
      </c>
      <c r="C7" t="s">
        <v>23</v>
      </c>
      <c r="D7" t="s">
        <v>24</v>
      </c>
      <c r="E7" t="s">
        <v>25</v>
      </c>
      <c r="G7" s="2">
        <v>2</v>
      </c>
      <c r="H7" s="2">
        <v>0</v>
      </c>
      <c r="I7">
        <v>0.57999999999999996</v>
      </c>
      <c r="J7" s="3">
        <v>1.1599999999999999</v>
      </c>
    </row>
    <row r="8" spans="1:10" ht="15" x14ac:dyDescent="0.2">
      <c r="A8" s="2">
        <v>6</v>
      </c>
      <c r="B8" s="2">
        <v>1</v>
      </c>
      <c r="C8" t="s">
        <v>26</v>
      </c>
      <c r="D8" t="s">
        <v>27</v>
      </c>
      <c r="E8" t="s">
        <v>28</v>
      </c>
      <c r="G8" s="2">
        <v>1</v>
      </c>
      <c r="H8" s="2">
        <v>0</v>
      </c>
      <c r="I8">
        <v>0.6</v>
      </c>
      <c r="J8" s="3">
        <v>0.6</v>
      </c>
    </row>
    <row r="9" spans="1:10" ht="15" x14ac:dyDescent="0.2">
      <c r="A9" s="2">
        <v>7</v>
      </c>
      <c r="B9" s="2">
        <v>4</v>
      </c>
      <c r="C9" t="s">
        <v>29</v>
      </c>
      <c r="D9" t="s">
        <v>30</v>
      </c>
      <c r="E9" t="s">
        <v>31</v>
      </c>
      <c r="G9" s="2">
        <v>4</v>
      </c>
      <c r="H9" s="2">
        <v>0</v>
      </c>
      <c r="I9">
        <v>0.26</v>
      </c>
      <c r="J9" s="3">
        <v>1.04</v>
      </c>
    </row>
    <row r="10" spans="1:10" ht="15" x14ac:dyDescent="0.2">
      <c r="A10" s="2">
        <v>8</v>
      </c>
      <c r="B10" s="2">
        <v>9</v>
      </c>
      <c r="C10" t="s">
        <v>32</v>
      </c>
      <c r="D10" t="s">
        <v>33</v>
      </c>
      <c r="E10" t="s">
        <v>34</v>
      </c>
      <c r="G10" s="2">
        <v>9</v>
      </c>
      <c r="H10" s="2">
        <v>0</v>
      </c>
      <c r="I10">
        <v>0.1</v>
      </c>
      <c r="J10" s="3">
        <v>0.9</v>
      </c>
    </row>
    <row r="11" spans="1:10" ht="15" x14ac:dyDescent="0.2">
      <c r="A11" s="2">
        <v>9</v>
      </c>
      <c r="B11" s="2">
        <v>1</v>
      </c>
      <c r="C11" t="s">
        <v>35</v>
      </c>
      <c r="D11" t="s">
        <v>36</v>
      </c>
      <c r="E11" t="s">
        <v>37</v>
      </c>
      <c r="G11" s="2">
        <v>1</v>
      </c>
      <c r="H11" s="2">
        <v>0</v>
      </c>
      <c r="I11">
        <v>0.25</v>
      </c>
      <c r="J11" s="3">
        <v>0.25</v>
      </c>
    </row>
    <row r="13" spans="1:10" ht="15" x14ac:dyDescent="0.2">
      <c r="H13" s="6" t="s">
        <v>38</v>
      </c>
      <c r="I13">
        <f>SUMPRODUCT(B3:B11,I3:I11)</f>
        <v>12.24</v>
      </c>
    </row>
    <row r="14" spans="1:10" ht="15" x14ac:dyDescent="0.2">
      <c r="H14" s="6" t="s">
        <v>39</v>
      </c>
      <c r="I14" s="6">
        <v>25.75</v>
      </c>
      <c r="J14" t="s">
        <v>40</v>
      </c>
    </row>
    <row r="15" spans="1:10" ht="15" x14ac:dyDescent="0.2">
      <c r="H15" s="6" t="s">
        <v>42</v>
      </c>
      <c r="I15" s="6">
        <v>33.75</v>
      </c>
      <c r="J15" s="6" t="s">
        <v>43</v>
      </c>
    </row>
    <row r="16" spans="1:10" ht="15" x14ac:dyDescent="0.2"/>
    <row r="17" spans="8:9" ht="15" x14ac:dyDescent="0.2">
      <c r="H17" s="6" t="s">
        <v>44</v>
      </c>
      <c r="I17">
        <f>5*I13+I14</f>
        <v>86.95</v>
      </c>
    </row>
    <row r="18" spans="8:9" ht="15" x14ac:dyDescent="0.2">
      <c r="H18" s="6" t="s">
        <v>41</v>
      </c>
      <c r="I18">
        <f>I13*25+I15</f>
        <v>339.75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Mentgen</cp:lastModifiedBy>
  <dcterms:modified xsi:type="dcterms:W3CDTF">2026-02-17T05:03:30Z</dcterms:modified>
</cp:coreProperties>
</file>